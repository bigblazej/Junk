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nowisko\Documents\"/>
    </mc:Choice>
  </mc:AlternateContent>
  <xr:revisionPtr revIDLastSave="0" documentId="13_ncr:1_{60D51865-4537-46E4-8FBD-A0BE3859A8A6}" xr6:coauthVersionLast="47" xr6:coauthVersionMax="47" xr10:uidLastSave="{00000000-0000-0000-0000-000000000000}"/>
  <bookViews>
    <workbookView xWindow="-120" yWindow="-120" windowWidth="29040" windowHeight="15720" xr2:uid="{1CB50569-4EDF-4238-81B9-173B35D7C6F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9" i="1" l="1"/>
  <c r="Y2" i="1"/>
  <c r="Z2" i="1"/>
  <c r="AA2" i="1"/>
  <c r="Y3" i="1"/>
  <c r="Z3" i="1"/>
  <c r="AA3" i="1"/>
  <c r="Y4" i="1"/>
  <c r="Z4" i="1"/>
  <c r="AA4" i="1"/>
  <c r="Y5" i="1"/>
  <c r="Z5" i="1"/>
  <c r="AA5" i="1"/>
  <c r="Y6" i="1"/>
  <c r="Z6" i="1"/>
  <c r="AA6" i="1"/>
  <c r="Y7" i="1"/>
  <c r="Z7" i="1"/>
  <c r="AA7" i="1"/>
  <c r="Y8" i="1"/>
  <c r="Z8" i="1"/>
  <c r="AA8" i="1"/>
  <c r="Y9" i="1"/>
  <c r="Z9" i="1"/>
  <c r="X9" i="1"/>
  <c r="X8" i="1"/>
  <c r="X7" i="1"/>
  <c r="X6" i="1"/>
  <c r="X5" i="1"/>
  <c r="X4" i="1"/>
  <c r="X3" i="1"/>
  <c r="X2" i="1"/>
  <c r="I4" i="1"/>
  <c r="U2" i="1"/>
  <c r="O34" i="1"/>
  <c r="P34" i="1"/>
  <c r="Q34" i="1"/>
  <c r="N34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O2" i="1"/>
  <c r="P2" i="1"/>
  <c r="Q2" i="1"/>
  <c r="N2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I36" i="1"/>
  <c r="J36" i="1"/>
  <c r="K36" i="1"/>
  <c r="L36" i="1"/>
  <c r="I37" i="1"/>
  <c r="J37" i="1"/>
  <c r="K37" i="1"/>
  <c r="L37" i="1"/>
  <c r="I38" i="1"/>
  <c r="J38" i="1"/>
  <c r="K38" i="1"/>
  <c r="L38" i="1"/>
  <c r="I39" i="1"/>
  <c r="J39" i="1"/>
  <c r="K39" i="1"/>
  <c r="L39" i="1"/>
  <c r="I40" i="1"/>
  <c r="J40" i="1"/>
  <c r="K40" i="1"/>
  <c r="L40" i="1"/>
  <c r="I41" i="1"/>
  <c r="J41" i="1"/>
  <c r="K41" i="1"/>
  <c r="L41" i="1"/>
  <c r="I42" i="1"/>
  <c r="J42" i="1"/>
  <c r="K42" i="1"/>
  <c r="L42" i="1"/>
  <c r="I43" i="1"/>
  <c r="J43" i="1"/>
  <c r="K43" i="1"/>
  <c r="L43" i="1"/>
  <c r="I44" i="1"/>
  <c r="J44" i="1"/>
  <c r="K44" i="1"/>
  <c r="L44" i="1"/>
  <c r="I45" i="1"/>
  <c r="J45" i="1"/>
  <c r="K45" i="1"/>
  <c r="L45" i="1"/>
  <c r="I46" i="1"/>
  <c r="J46" i="1"/>
  <c r="K46" i="1"/>
  <c r="L46" i="1"/>
  <c r="I47" i="1"/>
  <c r="J47" i="1"/>
  <c r="K47" i="1"/>
  <c r="L47" i="1"/>
  <c r="I48" i="1"/>
  <c r="J48" i="1"/>
  <c r="K48" i="1"/>
  <c r="L48" i="1"/>
  <c r="I49" i="1"/>
  <c r="J49" i="1"/>
  <c r="K49" i="1"/>
  <c r="L49" i="1"/>
  <c r="I50" i="1"/>
  <c r="J50" i="1"/>
  <c r="K50" i="1"/>
  <c r="L50" i="1"/>
  <c r="I51" i="1"/>
  <c r="J51" i="1"/>
  <c r="K51" i="1"/>
  <c r="L51" i="1"/>
  <c r="I52" i="1"/>
  <c r="J52" i="1"/>
  <c r="K52" i="1"/>
  <c r="L52" i="1"/>
  <c r="I53" i="1"/>
  <c r="J53" i="1"/>
  <c r="K53" i="1"/>
  <c r="L53" i="1"/>
  <c r="I54" i="1"/>
  <c r="J54" i="1"/>
  <c r="K54" i="1"/>
  <c r="L54" i="1"/>
  <c r="I55" i="1"/>
  <c r="J55" i="1"/>
  <c r="K55" i="1"/>
  <c r="L55" i="1"/>
  <c r="I56" i="1"/>
  <c r="J56" i="1"/>
  <c r="K56" i="1"/>
  <c r="L56" i="1"/>
  <c r="I57" i="1"/>
  <c r="J57" i="1"/>
  <c r="K57" i="1"/>
  <c r="L57" i="1"/>
  <c r="I58" i="1"/>
  <c r="J58" i="1"/>
  <c r="K58" i="1"/>
  <c r="L58" i="1"/>
  <c r="I59" i="1"/>
  <c r="J59" i="1"/>
  <c r="K59" i="1"/>
  <c r="L59" i="1"/>
  <c r="I60" i="1"/>
  <c r="J60" i="1"/>
  <c r="K60" i="1"/>
  <c r="L60" i="1"/>
  <c r="I61" i="1"/>
  <c r="J61" i="1"/>
  <c r="K61" i="1"/>
  <c r="L61" i="1"/>
  <c r="I62" i="1"/>
  <c r="J62" i="1"/>
  <c r="K62" i="1"/>
  <c r="L62" i="1"/>
  <c r="I63" i="1"/>
  <c r="J63" i="1"/>
  <c r="K63" i="1"/>
  <c r="L63" i="1"/>
  <c r="I64" i="1"/>
  <c r="J64" i="1"/>
  <c r="K64" i="1"/>
  <c r="L64" i="1"/>
  <c r="I65" i="1"/>
  <c r="J65" i="1"/>
  <c r="K65" i="1"/>
  <c r="L65" i="1"/>
  <c r="I66" i="1"/>
  <c r="J66" i="1"/>
  <c r="K66" i="1"/>
  <c r="L66" i="1"/>
  <c r="I67" i="1"/>
  <c r="J67" i="1"/>
  <c r="K67" i="1"/>
  <c r="L67" i="1"/>
  <c r="I68" i="1"/>
  <c r="J68" i="1"/>
  <c r="K68" i="1"/>
  <c r="L68" i="1"/>
  <c r="I69" i="1"/>
  <c r="J69" i="1"/>
  <c r="K69" i="1"/>
  <c r="L69" i="1"/>
  <c r="I70" i="1"/>
  <c r="J70" i="1"/>
  <c r="K70" i="1"/>
  <c r="L70" i="1"/>
  <c r="L3" i="1"/>
  <c r="K3" i="1"/>
  <c r="J3" i="1"/>
  <c r="I3" i="1"/>
  <c r="C55" i="1"/>
  <c r="D55" i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E55" i="1"/>
  <c r="F55" i="1"/>
  <c r="C56" i="1"/>
  <c r="E56" i="1"/>
  <c r="F56" i="1"/>
  <c r="C57" i="1"/>
  <c r="E57" i="1"/>
  <c r="F57" i="1"/>
  <c r="C58" i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E58" i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F58" i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C50" i="1" s="1"/>
  <c r="C51" i="1" s="1"/>
  <c r="C52" i="1" s="1"/>
  <c r="C53" i="1" s="1"/>
  <c r="C54" i="1" s="1"/>
  <c r="D49" i="1"/>
  <c r="D50" i="1" s="1"/>
  <c r="D51" i="1" s="1"/>
  <c r="D52" i="1" s="1"/>
  <c r="D53" i="1" s="1"/>
  <c r="D54" i="1" s="1"/>
  <c r="E49" i="1"/>
  <c r="E50" i="1" s="1"/>
  <c r="E51" i="1" s="1"/>
  <c r="E52" i="1" s="1"/>
  <c r="E53" i="1" s="1"/>
  <c r="E54" i="1" s="1"/>
  <c r="F49" i="1"/>
  <c r="F50" i="1" s="1"/>
  <c r="F51" i="1" s="1"/>
  <c r="F52" i="1" s="1"/>
  <c r="F53" i="1" s="1"/>
  <c r="F54" i="1" s="1"/>
  <c r="C34" i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D34" i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E34" i="1"/>
  <c r="F34" i="1"/>
  <c r="E35" i="1"/>
  <c r="F35" i="1"/>
  <c r="E36" i="1"/>
  <c r="F36" i="1"/>
  <c r="E37" i="1"/>
  <c r="E38" i="1" s="1"/>
  <c r="E39" i="1" s="1"/>
  <c r="E40" i="1" s="1"/>
  <c r="E41" i="1" s="1"/>
  <c r="E42" i="1" s="1"/>
  <c r="E43" i="1" s="1"/>
  <c r="E44" i="1" s="1"/>
  <c r="E45" i="1" s="1"/>
  <c r="F37" i="1"/>
  <c r="F38" i="1" s="1"/>
  <c r="F39" i="1" s="1"/>
  <c r="F40" i="1" s="1"/>
  <c r="F41" i="1" s="1"/>
  <c r="F42" i="1" s="1"/>
  <c r="F43" i="1" s="1"/>
  <c r="F44" i="1" s="1"/>
  <c r="F45" i="1" s="1"/>
  <c r="F27" i="1"/>
  <c r="F28" i="1" s="1"/>
  <c r="F29" i="1" s="1"/>
  <c r="F30" i="1" s="1"/>
  <c r="F31" i="1" s="1"/>
  <c r="F32" i="1" s="1"/>
  <c r="F33" i="1" s="1"/>
  <c r="E27" i="1"/>
  <c r="E28" i="1" s="1"/>
  <c r="E29" i="1" s="1"/>
  <c r="E30" i="1" s="1"/>
  <c r="E31" i="1" s="1"/>
  <c r="E32" i="1" s="1"/>
  <c r="E33" i="1" s="1"/>
  <c r="D27" i="1"/>
  <c r="D28" i="1" s="1"/>
  <c r="D29" i="1" s="1"/>
  <c r="D30" i="1" s="1"/>
  <c r="D31" i="1" s="1"/>
  <c r="D32" i="1" s="1"/>
  <c r="D33" i="1" s="1"/>
  <c r="C27" i="1"/>
  <c r="C28" i="1"/>
  <c r="C29" i="1"/>
  <c r="C30" i="1" s="1"/>
  <c r="C31" i="1" s="1"/>
  <c r="C32" i="1" s="1"/>
  <c r="C33" i="1" s="1"/>
  <c r="F26" i="1"/>
  <c r="E26" i="1"/>
  <c r="D26" i="1"/>
  <c r="C26" i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 s="1"/>
  <c r="E21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E3" i="1"/>
  <c r="D3" i="1"/>
  <c r="F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3" i="1"/>
</calcChain>
</file>

<file path=xl/sharedStrings.xml><?xml version="1.0" encoding="utf-8"?>
<sst xmlns="http://schemas.openxmlformats.org/spreadsheetml/2006/main" count="12" uniqueCount="8">
  <si>
    <t>Rok</t>
  </si>
  <si>
    <t>Kwartał</t>
  </si>
  <si>
    <t>Dama</t>
  </si>
  <si>
    <t>Granta</t>
  </si>
  <si>
    <t>Dorkas</t>
  </si>
  <si>
    <t>Lodera</t>
  </si>
  <si>
    <t>C)</t>
  </si>
  <si>
    <t>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</si>
</sst>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wyprodukowanych samochodów w danym roku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Arkusz1!$X$1</c:f>
              <c:strCache>
                <c:ptCount val="1"/>
                <c:pt idx="0">
                  <c:v>Dama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Arkusz1!$W$2:$W$9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Arkusz1!$X$2:$X$9</c:f>
              <c:numCache>
                <c:formatCode>General</c:formatCode>
                <c:ptCount val="8"/>
                <c:pt idx="0">
                  <c:v>972</c:v>
                </c:pt>
                <c:pt idx="1">
                  <c:v>1042</c:v>
                </c:pt>
                <c:pt idx="2">
                  <c:v>1122</c:v>
                </c:pt>
                <c:pt idx="3">
                  <c:v>1203</c:v>
                </c:pt>
                <c:pt idx="4">
                  <c:v>1296</c:v>
                </c:pt>
                <c:pt idx="5">
                  <c:v>1332</c:v>
                </c:pt>
                <c:pt idx="6">
                  <c:v>1292</c:v>
                </c:pt>
                <c:pt idx="7">
                  <c:v>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8-494D-94FC-0559F6A005C4}"/>
            </c:ext>
          </c:extLst>
        </c:ser>
        <c:ser>
          <c:idx val="1"/>
          <c:order val="1"/>
          <c:tx>
            <c:strRef>
              <c:f>Arkusz1!$Y$1</c:f>
              <c:strCache>
                <c:ptCount val="1"/>
                <c:pt idx="0">
                  <c:v>Granta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Arkusz1!$W$2:$W$9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Arkusz1!$Y$2:$Y$9</c:f>
              <c:numCache>
                <c:formatCode>General</c:formatCode>
                <c:ptCount val="8"/>
                <c:pt idx="0">
                  <c:v>822</c:v>
                </c:pt>
                <c:pt idx="1">
                  <c:v>905</c:v>
                </c:pt>
                <c:pt idx="2">
                  <c:v>1000</c:v>
                </c:pt>
                <c:pt idx="3">
                  <c:v>1102</c:v>
                </c:pt>
                <c:pt idx="4">
                  <c:v>1217</c:v>
                </c:pt>
                <c:pt idx="5">
                  <c:v>1264</c:v>
                </c:pt>
                <c:pt idx="6">
                  <c:v>1224</c:v>
                </c:pt>
                <c:pt idx="7">
                  <c:v>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C8-494D-94FC-0559F6A005C4}"/>
            </c:ext>
          </c:extLst>
        </c:ser>
        <c:ser>
          <c:idx val="2"/>
          <c:order val="2"/>
          <c:tx>
            <c:strRef>
              <c:f>Arkusz1!$Z$1</c:f>
              <c:strCache>
                <c:ptCount val="1"/>
                <c:pt idx="0">
                  <c:v>Dorkas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Arkusz1!$W$2:$W$9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Arkusz1!$Z$2:$Z$9</c:f>
              <c:numCache>
                <c:formatCode>General</c:formatCode>
                <c:ptCount val="8"/>
                <c:pt idx="0">
                  <c:v>864</c:v>
                </c:pt>
                <c:pt idx="1">
                  <c:v>963</c:v>
                </c:pt>
                <c:pt idx="2">
                  <c:v>1075</c:v>
                </c:pt>
                <c:pt idx="3">
                  <c:v>1201</c:v>
                </c:pt>
                <c:pt idx="4">
                  <c:v>1343</c:v>
                </c:pt>
                <c:pt idx="5">
                  <c:v>1400</c:v>
                </c:pt>
                <c:pt idx="6">
                  <c:v>1330</c:v>
                </c:pt>
                <c:pt idx="7">
                  <c:v>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C8-494D-94FC-0559F6A005C4}"/>
            </c:ext>
          </c:extLst>
        </c:ser>
        <c:ser>
          <c:idx val="3"/>
          <c:order val="3"/>
          <c:tx>
            <c:strRef>
              <c:f>Arkusz1!$AA$1</c:f>
              <c:strCache>
                <c:ptCount val="1"/>
                <c:pt idx="0">
                  <c:v>Lodera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Arkusz1!$W$2:$W$9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Arkusz1!$AA$2:$AA$9</c:f>
              <c:numCache>
                <c:formatCode>General</c:formatCode>
                <c:ptCount val="8"/>
                <c:pt idx="0">
                  <c:v>1284</c:v>
                </c:pt>
                <c:pt idx="1">
                  <c:v>1380</c:v>
                </c:pt>
                <c:pt idx="2">
                  <c:v>1486</c:v>
                </c:pt>
                <c:pt idx="3">
                  <c:v>1599</c:v>
                </c:pt>
                <c:pt idx="4">
                  <c:v>1724</c:v>
                </c:pt>
                <c:pt idx="5">
                  <c:v>1772</c:v>
                </c:pt>
                <c:pt idx="6">
                  <c:v>1658</c:v>
                </c:pt>
                <c:pt idx="7">
                  <c:v>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C8-494D-94FC-0559F6A00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1389760"/>
        <c:axId val="861395040"/>
        <c:axId val="0"/>
      </c:bar3DChart>
      <c:catAx>
        <c:axId val="861389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1395040"/>
        <c:crosses val="autoZero"/>
        <c:auto val="1"/>
        <c:lblAlgn val="ctr"/>
        <c:lblOffset val="100"/>
        <c:noMultiLvlLbl val="0"/>
      </c:catAx>
      <c:valAx>
        <c:axId val="86139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wyprodukowanych</a:t>
                </a:r>
                <a:r>
                  <a:rPr lang="pl-PL" baseline="0"/>
                  <a:t> samochodów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138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323850</xdr:colOff>
      <xdr:row>13</xdr:row>
      <xdr:rowOff>61912</xdr:rowOff>
    </xdr:from>
    <xdr:to>
      <xdr:col>27</xdr:col>
      <xdr:colOff>19050</xdr:colOff>
      <xdr:row>27</xdr:row>
      <xdr:rowOff>138112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1BE4CA2-2C6A-269C-2D0A-57A7FEE86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E955-1516-44C8-8DD6-E0193F898CED}">
  <dimension ref="A1:AA70"/>
  <sheetViews>
    <sheetView tabSelected="1" workbookViewId="0">
      <selection activeCell="B1" sqref="B1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X1" t="s">
        <v>2</v>
      </c>
      <c r="Y1" t="s">
        <v>3</v>
      </c>
      <c r="Z1" t="s">
        <v>4</v>
      </c>
      <c r="AA1" t="s">
        <v>5</v>
      </c>
    </row>
    <row r="2" spans="1:27" x14ac:dyDescent="0.25">
      <c r="A2">
        <v>2005</v>
      </c>
      <c r="B2">
        <v>1</v>
      </c>
      <c r="C2">
        <v>237</v>
      </c>
      <c r="D2">
        <v>198</v>
      </c>
      <c r="E2">
        <v>207</v>
      </c>
      <c r="F2">
        <v>312</v>
      </c>
      <c r="M2" t="s">
        <v>6</v>
      </c>
      <c r="N2">
        <f>IF(C2 &gt; 300, 1, 0)</f>
        <v>0</v>
      </c>
      <c r="O2">
        <f t="shared" ref="O2:Q2" si="0">IF(D2 &gt; 300, 1, 0)</f>
        <v>0</v>
      </c>
      <c r="P2">
        <f t="shared" si="0"/>
        <v>0</v>
      </c>
      <c r="Q2">
        <f t="shared" si="0"/>
        <v>1</v>
      </c>
      <c r="T2" t="s">
        <v>7</v>
      </c>
      <c r="U2" s="4">
        <f>SUM(C2:C25)+SUM(D2:D25)+SUM(E2:E25)+SUM(F2:F25)</f>
        <v>29368</v>
      </c>
      <c r="W2">
        <v>2005</v>
      </c>
      <c r="X2">
        <f>SUM(C2:C5)</f>
        <v>972</v>
      </c>
      <c r="Y2">
        <f t="shared" ref="Y2:AA2" si="1">SUM(D2:D5)</f>
        <v>822</v>
      </c>
      <c r="Z2">
        <f t="shared" si="1"/>
        <v>864</v>
      </c>
      <c r="AA2">
        <f t="shared" si="1"/>
        <v>1284</v>
      </c>
    </row>
    <row r="3" spans="1:27" x14ac:dyDescent="0.25">
      <c r="A3">
        <v>2005</v>
      </c>
      <c r="B3">
        <v>2</v>
      </c>
      <c r="C3">
        <f>INT(C2*1.02)</f>
        <v>241</v>
      </c>
      <c r="D3">
        <f>INT(D2*1.027)</f>
        <v>203</v>
      </c>
      <c r="E3">
        <f>INT(E2*1.03)</f>
        <v>213</v>
      </c>
      <c r="F3">
        <f t="shared" ref="D3:F18" si="2">INT(F2*1.02)</f>
        <v>318</v>
      </c>
      <c r="I3" t="str">
        <f>IF($C$2&gt;C3, "tu","")</f>
        <v/>
      </c>
      <c r="J3" t="str">
        <f>IF($D$2&gt;D3, "tu","")</f>
        <v/>
      </c>
      <c r="K3" t="str">
        <f>IF($E$2&gt;E3, "tu","")</f>
        <v/>
      </c>
      <c r="L3" t="str">
        <f>IF($F$2&gt;F3, "tu","")</f>
        <v/>
      </c>
      <c r="N3">
        <f t="shared" ref="N3:N33" si="3">IF(C3 &gt; 300, 1, 0)</f>
        <v>0</v>
      </c>
      <c r="O3">
        <f t="shared" ref="O3:O33" si="4">IF(D3 &gt; 300, 1, 0)</f>
        <v>0</v>
      </c>
      <c r="P3">
        <f t="shared" ref="P3:P33" si="5">IF(E3 &gt; 300, 1, 0)</f>
        <v>0</v>
      </c>
      <c r="Q3">
        <f t="shared" ref="Q3:Q33" si="6">IF(F3 &gt; 300, 1, 0)</f>
        <v>1</v>
      </c>
      <c r="W3">
        <v>2006</v>
      </c>
      <c r="X3">
        <f>SUM(C6:C9)</f>
        <v>1042</v>
      </c>
      <c r="Y3">
        <f t="shared" ref="Y3:AA3" si="7">SUM(D6:D9)</f>
        <v>905</v>
      </c>
      <c r="Z3">
        <f t="shared" si="7"/>
        <v>963</v>
      </c>
      <c r="AA3">
        <f t="shared" si="7"/>
        <v>1380</v>
      </c>
    </row>
    <row r="4" spans="1:27" x14ac:dyDescent="0.25">
      <c r="A4">
        <v>2005</v>
      </c>
      <c r="B4">
        <v>3</v>
      </c>
      <c r="C4">
        <f t="shared" ref="C4:C21" si="8">INT(C3*1.02)</f>
        <v>245</v>
      </c>
      <c r="D4">
        <f t="shared" ref="D4:D21" si="9">INT(D3*1.027)</f>
        <v>208</v>
      </c>
      <c r="E4">
        <f t="shared" ref="E4:E21" si="10">INT(E3*1.03)</f>
        <v>219</v>
      </c>
      <c r="F4">
        <f t="shared" si="2"/>
        <v>324</v>
      </c>
      <c r="I4" t="str">
        <f>IF($C$2&gt;C4, "tu","")</f>
        <v/>
      </c>
      <c r="J4" t="str">
        <f t="shared" ref="J4:J67" si="11">IF($D$2&gt;D4, "tu","")</f>
        <v/>
      </c>
      <c r="K4" t="str">
        <f t="shared" ref="K4:K67" si="12">IF($E$2&gt;E4, "tu","")</f>
        <v/>
      </c>
      <c r="L4" t="str">
        <f t="shared" ref="L4:L67" si="13">IF($F$2&gt;F4, "tu","")</f>
        <v/>
      </c>
      <c r="N4">
        <f t="shared" si="3"/>
        <v>0</v>
      </c>
      <c r="O4">
        <f t="shared" si="4"/>
        <v>0</v>
      </c>
      <c r="P4">
        <f t="shared" si="5"/>
        <v>0</v>
      </c>
      <c r="Q4">
        <f t="shared" si="6"/>
        <v>1</v>
      </c>
      <c r="W4">
        <v>2007</v>
      </c>
      <c r="X4">
        <f>SUM(C10:C13)</f>
        <v>1122</v>
      </c>
      <c r="Y4">
        <f t="shared" ref="Y4:AA4" si="14">SUM(D10:D13)</f>
        <v>1000</v>
      </c>
      <c r="Z4">
        <f t="shared" si="14"/>
        <v>1075</v>
      </c>
      <c r="AA4">
        <f t="shared" si="14"/>
        <v>1486</v>
      </c>
    </row>
    <row r="5" spans="1:27" x14ac:dyDescent="0.25">
      <c r="A5">
        <v>2005</v>
      </c>
      <c r="B5">
        <v>4</v>
      </c>
      <c r="C5">
        <f t="shared" si="8"/>
        <v>249</v>
      </c>
      <c r="D5">
        <f t="shared" si="9"/>
        <v>213</v>
      </c>
      <c r="E5">
        <f t="shared" si="10"/>
        <v>225</v>
      </c>
      <c r="F5">
        <f t="shared" si="2"/>
        <v>330</v>
      </c>
      <c r="I5" t="str">
        <f t="shared" ref="I4:I67" si="15">IF($C$2&gt;C5, "tu","")</f>
        <v/>
      </c>
      <c r="J5" t="str">
        <f t="shared" si="11"/>
        <v/>
      </c>
      <c r="K5" t="str">
        <f t="shared" si="12"/>
        <v/>
      </c>
      <c r="L5" t="str">
        <f t="shared" si="13"/>
        <v/>
      </c>
      <c r="N5">
        <f t="shared" si="3"/>
        <v>0</v>
      </c>
      <c r="O5">
        <f t="shared" si="4"/>
        <v>0</v>
      </c>
      <c r="P5">
        <f t="shared" si="5"/>
        <v>0</v>
      </c>
      <c r="Q5">
        <f t="shared" si="6"/>
        <v>1</v>
      </c>
      <c r="W5">
        <v>2008</v>
      </c>
      <c r="X5">
        <f>SUM(C14:C17)</f>
        <v>1203</v>
      </c>
      <c r="Y5">
        <f t="shared" ref="Y5:AA5" si="16">SUM(D14:D17)</f>
        <v>1102</v>
      </c>
      <c r="Z5">
        <f t="shared" si="16"/>
        <v>1201</v>
      </c>
      <c r="AA5">
        <f t="shared" si="16"/>
        <v>1599</v>
      </c>
    </row>
    <row r="6" spans="1:27" x14ac:dyDescent="0.25">
      <c r="A6">
        <v>2006</v>
      </c>
      <c r="B6">
        <v>1</v>
      </c>
      <c r="C6">
        <f t="shared" si="8"/>
        <v>253</v>
      </c>
      <c r="D6">
        <f t="shared" si="9"/>
        <v>218</v>
      </c>
      <c r="E6">
        <f t="shared" si="10"/>
        <v>231</v>
      </c>
      <c r="F6">
        <f t="shared" si="2"/>
        <v>336</v>
      </c>
      <c r="I6" t="str">
        <f t="shared" si="15"/>
        <v/>
      </c>
      <c r="J6" t="str">
        <f t="shared" si="11"/>
        <v/>
      </c>
      <c r="K6" t="str">
        <f t="shared" si="12"/>
        <v/>
      </c>
      <c r="L6" t="str">
        <f t="shared" si="13"/>
        <v/>
      </c>
      <c r="N6">
        <f t="shared" si="3"/>
        <v>0</v>
      </c>
      <c r="O6">
        <f t="shared" si="4"/>
        <v>0</v>
      </c>
      <c r="P6">
        <f t="shared" si="5"/>
        <v>0</v>
      </c>
      <c r="Q6">
        <f t="shared" si="6"/>
        <v>1</v>
      </c>
      <c r="W6">
        <v>2009</v>
      </c>
      <c r="X6">
        <f>SUM(C18:C21)</f>
        <v>1296</v>
      </c>
      <c r="Y6">
        <f t="shared" ref="Y6:AA6" si="17">SUM(D18:D21)</f>
        <v>1217</v>
      </c>
      <c r="Z6">
        <f t="shared" si="17"/>
        <v>1343</v>
      </c>
      <c r="AA6">
        <f t="shared" si="17"/>
        <v>1724</v>
      </c>
    </row>
    <row r="7" spans="1:27" x14ac:dyDescent="0.25">
      <c r="A7">
        <v>2006</v>
      </c>
      <c r="B7">
        <v>2</v>
      </c>
      <c r="C7">
        <f t="shared" si="8"/>
        <v>258</v>
      </c>
      <c r="D7">
        <f t="shared" si="9"/>
        <v>223</v>
      </c>
      <c r="E7">
        <f t="shared" si="10"/>
        <v>237</v>
      </c>
      <c r="F7">
        <f t="shared" si="2"/>
        <v>342</v>
      </c>
      <c r="I7" t="str">
        <f t="shared" si="15"/>
        <v/>
      </c>
      <c r="J7" t="str">
        <f t="shared" si="11"/>
        <v/>
      </c>
      <c r="K7" t="str">
        <f t="shared" si="12"/>
        <v/>
      </c>
      <c r="L7" t="str">
        <f t="shared" si="13"/>
        <v/>
      </c>
      <c r="N7">
        <f t="shared" si="3"/>
        <v>0</v>
      </c>
      <c r="O7">
        <f t="shared" si="4"/>
        <v>0</v>
      </c>
      <c r="P7">
        <f t="shared" si="5"/>
        <v>0</v>
      </c>
      <c r="Q7">
        <f t="shared" si="6"/>
        <v>1</v>
      </c>
      <c r="W7">
        <v>2010</v>
      </c>
      <c r="X7">
        <f>SUM(C22:C25)</f>
        <v>1332</v>
      </c>
      <c r="Y7">
        <f t="shared" ref="Y7:AA7" si="18">SUM(D22:D25)</f>
        <v>1264</v>
      </c>
      <c r="Z7">
        <f t="shared" si="18"/>
        <v>1400</v>
      </c>
      <c r="AA7">
        <f t="shared" si="18"/>
        <v>1772</v>
      </c>
    </row>
    <row r="8" spans="1:27" x14ac:dyDescent="0.25">
      <c r="A8">
        <v>2006</v>
      </c>
      <c r="B8">
        <v>3</v>
      </c>
      <c r="C8">
        <f t="shared" si="8"/>
        <v>263</v>
      </c>
      <c r="D8">
        <f t="shared" si="9"/>
        <v>229</v>
      </c>
      <c r="E8">
        <f t="shared" si="10"/>
        <v>244</v>
      </c>
      <c r="F8">
        <f t="shared" si="2"/>
        <v>348</v>
      </c>
      <c r="I8" t="str">
        <f t="shared" si="15"/>
        <v/>
      </c>
      <c r="J8" t="str">
        <f t="shared" si="11"/>
        <v/>
      </c>
      <c r="K8" t="str">
        <f t="shared" si="12"/>
        <v/>
      </c>
      <c r="L8" t="str">
        <f t="shared" si="13"/>
        <v/>
      </c>
      <c r="N8">
        <f t="shared" si="3"/>
        <v>0</v>
      </c>
      <c r="O8">
        <f t="shared" si="4"/>
        <v>0</v>
      </c>
      <c r="P8">
        <f t="shared" si="5"/>
        <v>0</v>
      </c>
      <c r="Q8">
        <f t="shared" si="6"/>
        <v>1</v>
      </c>
      <c r="W8">
        <v>2011</v>
      </c>
      <c r="X8">
        <f>SUM(C26:C29)</f>
        <v>1292</v>
      </c>
      <c r="Y8">
        <f t="shared" ref="Y8:AA8" si="19">SUM(D26:D29)</f>
        <v>1224</v>
      </c>
      <c r="Z8">
        <f t="shared" si="19"/>
        <v>1330</v>
      </c>
      <c r="AA8">
        <f t="shared" si="19"/>
        <v>1658</v>
      </c>
    </row>
    <row r="9" spans="1:27" x14ac:dyDescent="0.25">
      <c r="A9">
        <v>2006</v>
      </c>
      <c r="B9">
        <v>4</v>
      </c>
      <c r="C9">
        <f t="shared" si="8"/>
        <v>268</v>
      </c>
      <c r="D9">
        <f t="shared" si="9"/>
        <v>235</v>
      </c>
      <c r="E9">
        <f t="shared" si="10"/>
        <v>251</v>
      </c>
      <c r="F9">
        <f t="shared" si="2"/>
        <v>354</v>
      </c>
      <c r="I9" t="str">
        <f t="shared" si="15"/>
        <v/>
      </c>
      <c r="J9" t="str">
        <f t="shared" si="11"/>
        <v/>
      </c>
      <c r="K9" t="str">
        <f t="shared" si="12"/>
        <v/>
      </c>
      <c r="L9" t="str">
        <f t="shared" si="13"/>
        <v/>
      </c>
      <c r="N9">
        <f t="shared" si="3"/>
        <v>0</v>
      </c>
      <c r="O9">
        <f t="shared" si="4"/>
        <v>0</v>
      </c>
      <c r="P9">
        <f t="shared" si="5"/>
        <v>0</v>
      </c>
      <c r="Q9">
        <f t="shared" si="6"/>
        <v>1</v>
      </c>
      <c r="W9">
        <v>2012</v>
      </c>
      <c r="X9">
        <f>SUM(C30:C33)</f>
        <v>1228</v>
      </c>
      <c r="Y9">
        <f t="shared" ref="Y9:AA9" si="20">SUM(D30:D33)</f>
        <v>1160</v>
      </c>
      <c r="Z9">
        <f t="shared" si="20"/>
        <v>1224</v>
      </c>
      <c r="AA9">
        <f>SUM(F30:F33)</f>
        <v>1492</v>
      </c>
    </row>
    <row r="10" spans="1:27" x14ac:dyDescent="0.25">
      <c r="A10">
        <v>2007</v>
      </c>
      <c r="B10">
        <v>1</v>
      </c>
      <c r="C10">
        <f t="shared" si="8"/>
        <v>273</v>
      </c>
      <c r="D10">
        <f t="shared" si="9"/>
        <v>241</v>
      </c>
      <c r="E10">
        <f t="shared" si="10"/>
        <v>258</v>
      </c>
      <c r="F10">
        <f t="shared" si="2"/>
        <v>361</v>
      </c>
      <c r="I10" t="str">
        <f t="shared" si="15"/>
        <v/>
      </c>
      <c r="J10" t="str">
        <f t="shared" si="11"/>
        <v/>
      </c>
      <c r="K10" t="str">
        <f t="shared" si="12"/>
        <v/>
      </c>
      <c r="L10" t="str">
        <f t="shared" si="13"/>
        <v/>
      </c>
      <c r="N10">
        <f t="shared" si="3"/>
        <v>0</v>
      </c>
      <c r="O10">
        <f t="shared" si="4"/>
        <v>0</v>
      </c>
      <c r="P10">
        <f t="shared" si="5"/>
        <v>0</v>
      </c>
      <c r="Q10">
        <f t="shared" si="6"/>
        <v>1</v>
      </c>
    </row>
    <row r="11" spans="1:27" x14ac:dyDescent="0.25">
      <c r="A11">
        <v>2007</v>
      </c>
      <c r="B11">
        <v>2</v>
      </c>
      <c r="C11">
        <f t="shared" si="8"/>
        <v>278</v>
      </c>
      <c r="D11">
        <f t="shared" si="9"/>
        <v>247</v>
      </c>
      <c r="E11">
        <f t="shared" si="10"/>
        <v>265</v>
      </c>
      <c r="F11">
        <f t="shared" si="2"/>
        <v>368</v>
      </c>
      <c r="I11" t="str">
        <f t="shared" si="15"/>
        <v/>
      </c>
      <c r="J11" t="str">
        <f t="shared" si="11"/>
        <v/>
      </c>
      <c r="K11" t="str">
        <f t="shared" si="12"/>
        <v/>
      </c>
      <c r="L11" t="str">
        <f t="shared" si="13"/>
        <v/>
      </c>
      <c r="N11">
        <f t="shared" si="3"/>
        <v>0</v>
      </c>
      <c r="O11">
        <f t="shared" si="4"/>
        <v>0</v>
      </c>
      <c r="P11">
        <f t="shared" si="5"/>
        <v>0</v>
      </c>
      <c r="Q11">
        <f t="shared" si="6"/>
        <v>1</v>
      </c>
    </row>
    <row r="12" spans="1:27" x14ac:dyDescent="0.25">
      <c r="A12">
        <v>2007</v>
      </c>
      <c r="B12">
        <v>3</v>
      </c>
      <c r="C12">
        <f t="shared" si="8"/>
        <v>283</v>
      </c>
      <c r="D12">
        <f t="shared" si="9"/>
        <v>253</v>
      </c>
      <c r="E12">
        <f t="shared" si="10"/>
        <v>272</v>
      </c>
      <c r="F12">
        <f t="shared" si="2"/>
        <v>375</v>
      </c>
      <c r="I12" t="str">
        <f t="shared" si="15"/>
        <v/>
      </c>
      <c r="J12" t="str">
        <f t="shared" si="11"/>
        <v/>
      </c>
      <c r="K12" t="str">
        <f t="shared" si="12"/>
        <v/>
      </c>
      <c r="L12" t="str">
        <f t="shared" si="13"/>
        <v/>
      </c>
      <c r="N12">
        <f t="shared" si="3"/>
        <v>0</v>
      </c>
      <c r="O12">
        <f t="shared" si="4"/>
        <v>0</v>
      </c>
      <c r="P12">
        <f t="shared" si="5"/>
        <v>0</v>
      </c>
      <c r="Q12">
        <f t="shared" si="6"/>
        <v>1</v>
      </c>
    </row>
    <row r="13" spans="1:27" x14ac:dyDescent="0.25">
      <c r="A13">
        <v>2007</v>
      </c>
      <c r="B13">
        <v>4</v>
      </c>
      <c r="C13">
        <f t="shared" si="8"/>
        <v>288</v>
      </c>
      <c r="D13">
        <f t="shared" si="9"/>
        <v>259</v>
      </c>
      <c r="E13">
        <f t="shared" si="10"/>
        <v>280</v>
      </c>
      <c r="F13">
        <f t="shared" si="2"/>
        <v>382</v>
      </c>
      <c r="I13" t="str">
        <f t="shared" si="15"/>
        <v/>
      </c>
      <c r="J13" t="str">
        <f t="shared" si="11"/>
        <v/>
      </c>
      <c r="K13" t="str">
        <f t="shared" si="12"/>
        <v/>
      </c>
      <c r="L13" t="str">
        <f t="shared" si="13"/>
        <v/>
      </c>
      <c r="N13">
        <f t="shared" si="3"/>
        <v>0</v>
      </c>
      <c r="O13">
        <f t="shared" si="4"/>
        <v>0</v>
      </c>
      <c r="P13">
        <f t="shared" si="5"/>
        <v>0</v>
      </c>
      <c r="Q13">
        <f t="shared" si="6"/>
        <v>1</v>
      </c>
    </row>
    <row r="14" spans="1:27" x14ac:dyDescent="0.25">
      <c r="A14">
        <v>2008</v>
      </c>
      <c r="B14">
        <v>1</v>
      </c>
      <c r="C14">
        <f t="shared" si="8"/>
        <v>293</v>
      </c>
      <c r="D14">
        <f t="shared" si="9"/>
        <v>265</v>
      </c>
      <c r="E14">
        <f t="shared" si="10"/>
        <v>288</v>
      </c>
      <c r="F14">
        <f t="shared" si="2"/>
        <v>389</v>
      </c>
      <c r="I14" t="str">
        <f t="shared" si="15"/>
        <v/>
      </c>
      <c r="J14" t="str">
        <f t="shared" si="11"/>
        <v/>
      </c>
      <c r="K14" t="str">
        <f t="shared" si="12"/>
        <v/>
      </c>
      <c r="L14" t="str">
        <f t="shared" si="13"/>
        <v/>
      </c>
      <c r="N14">
        <f t="shared" si="3"/>
        <v>0</v>
      </c>
      <c r="O14">
        <f t="shared" si="4"/>
        <v>0</v>
      </c>
      <c r="P14">
        <f t="shared" si="5"/>
        <v>0</v>
      </c>
      <c r="Q14">
        <f t="shared" si="6"/>
        <v>1</v>
      </c>
    </row>
    <row r="15" spans="1:27" x14ac:dyDescent="0.25">
      <c r="A15">
        <v>2008</v>
      </c>
      <c r="B15">
        <v>2</v>
      </c>
      <c r="C15">
        <f t="shared" si="8"/>
        <v>298</v>
      </c>
      <c r="D15">
        <f t="shared" si="9"/>
        <v>272</v>
      </c>
      <c r="E15">
        <f t="shared" si="10"/>
        <v>296</v>
      </c>
      <c r="F15">
        <f t="shared" si="2"/>
        <v>396</v>
      </c>
      <c r="I15" t="str">
        <f t="shared" si="15"/>
        <v/>
      </c>
      <c r="J15" t="str">
        <f t="shared" si="11"/>
        <v/>
      </c>
      <c r="K15" t="str">
        <f t="shared" si="12"/>
        <v/>
      </c>
      <c r="L15" t="str">
        <f t="shared" si="13"/>
        <v/>
      </c>
      <c r="N15">
        <f t="shared" si="3"/>
        <v>0</v>
      </c>
      <c r="O15">
        <f t="shared" si="4"/>
        <v>0</v>
      </c>
      <c r="P15">
        <f t="shared" si="5"/>
        <v>0</v>
      </c>
      <c r="Q15">
        <f t="shared" si="6"/>
        <v>1</v>
      </c>
    </row>
    <row r="16" spans="1:27" x14ac:dyDescent="0.25">
      <c r="A16">
        <v>2008</v>
      </c>
      <c r="B16">
        <v>3</v>
      </c>
      <c r="C16">
        <f t="shared" si="8"/>
        <v>303</v>
      </c>
      <c r="D16">
        <f t="shared" si="9"/>
        <v>279</v>
      </c>
      <c r="E16">
        <f t="shared" si="10"/>
        <v>304</v>
      </c>
      <c r="F16">
        <f t="shared" si="2"/>
        <v>403</v>
      </c>
      <c r="I16" t="str">
        <f t="shared" si="15"/>
        <v/>
      </c>
      <c r="J16" t="str">
        <f t="shared" si="11"/>
        <v/>
      </c>
      <c r="K16" t="str">
        <f t="shared" si="12"/>
        <v/>
      </c>
      <c r="L16" t="str">
        <f t="shared" si="13"/>
        <v/>
      </c>
      <c r="N16">
        <f t="shared" si="3"/>
        <v>1</v>
      </c>
      <c r="O16">
        <f t="shared" si="4"/>
        <v>0</v>
      </c>
      <c r="P16">
        <f t="shared" si="5"/>
        <v>1</v>
      </c>
      <c r="Q16">
        <f t="shared" si="6"/>
        <v>1</v>
      </c>
    </row>
    <row r="17" spans="1:17" x14ac:dyDescent="0.25">
      <c r="A17">
        <v>2008</v>
      </c>
      <c r="B17">
        <v>4</v>
      </c>
      <c r="C17">
        <f t="shared" si="8"/>
        <v>309</v>
      </c>
      <c r="D17">
        <f t="shared" si="9"/>
        <v>286</v>
      </c>
      <c r="E17">
        <f t="shared" si="10"/>
        <v>313</v>
      </c>
      <c r="F17">
        <f t="shared" si="2"/>
        <v>411</v>
      </c>
      <c r="I17" t="str">
        <f t="shared" si="15"/>
        <v/>
      </c>
      <c r="J17" t="str">
        <f t="shared" si="11"/>
        <v/>
      </c>
      <c r="K17" t="str">
        <f t="shared" si="12"/>
        <v/>
      </c>
      <c r="L17" t="str">
        <f t="shared" si="13"/>
        <v/>
      </c>
      <c r="N17">
        <f t="shared" si="3"/>
        <v>1</v>
      </c>
      <c r="O17">
        <f t="shared" si="4"/>
        <v>0</v>
      </c>
      <c r="P17">
        <f t="shared" si="5"/>
        <v>1</v>
      </c>
      <c r="Q17">
        <f t="shared" si="6"/>
        <v>1</v>
      </c>
    </row>
    <row r="18" spans="1:17" x14ac:dyDescent="0.25">
      <c r="A18">
        <v>2009</v>
      </c>
      <c r="B18">
        <v>1</v>
      </c>
      <c r="C18">
        <f t="shared" si="8"/>
        <v>315</v>
      </c>
      <c r="D18">
        <f t="shared" si="9"/>
        <v>293</v>
      </c>
      <c r="E18">
        <f t="shared" si="10"/>
        <v>322</v>
      </c>
      <c r="F18">
        <f t="shared" si="2"/>
        <v>419</v>
      </c>
      <c r="I18" t="str">
        <f t="shared" si="15"/>
        <v/>
      </c>
      <c r="J18" t="str">
        <f t="shared" si="11"/>
        <v/>
      </c>
      <c r="K18" t="str">
        <f t="shared" si="12"/>
        <v/>
      </c>
      <c r="L18" t="str">
        <f t="shared" si="13"/>
        <v/>
      </c>
      <c r="N18">
        <f t="shared" si="3"/>
        <v>1</v>
      </c>
      <c r="O18">
        <f t="shared" si="4"/>
        <v>0</v>
      </c>
      <c r="P18">
        <f t="shared" si="5"/>
        <v>1</v>
      </c>
      <c r="Q18">
        <f t="shared" si="6"/>
        <v>1</v>
      </c>
    </row>
    <row r="19" spans="1:17" x14ac:dyDescent="0.25">
      <c r="A19">
        <v>2009</v>
      </c>
      <c r="B19">
        <v>2</v>
      </c>
      <c r="C19">
        <f t="shared" si="8"/>
        <v>321</v>
      </c>
      <c r="D19">
        <f t="shared" si="9"/>
        <v>300</v>
      </c>
      <c r="E19">
        <f t="shared" si="10"/>
        <v>331</v>
      </c>
      <c r="F19">
        <f t="shared" ref="F19:F21" si="21">INT(F18*1.02)</f>
        <v>427</v>
      </c>
      <c r="I19" t="str">
        <f t="shared" si="15"/>
        <v/>
      </c>
      <c r="J19" t="str">
        <f t="shared" si="11"/>
        <v/>
      </c>
      <c r="K19" t="str">
        <f t="shared" si="12"/>
        <v/>
      </c>
      <c r="L19" t="str">
        <f t="shared" si="13"/>
        <v/>
      </c>
      <c r="N19">
        <f t="shared" si="3"/>
        <v>1</v>
      </c>
      <c r="O19">
        <f t="shared" si="4"/>
        <v>0</v>
      </c>
      <c r="P19">
        <f t="shared" si="5"/>
        <v>1</v>
      </c>
      <c r="Q19">
        <f t="shared" si="6"/>
        <v>1</v>
      </c>
    </row>
    <row r="20" spans="1:17" x14ac:dyDescent="0.25">
      <c r="A20">
        <v>2009</v>
      </c>
      <c r="B20">
        <v>3</v>
      </c>
      <c r="C20">
        <f t="shared" si="8"/>
        <v>327</v>
      </c>
      <c r="D20">
        <f t="shared" si="9"/>
        <v>308</v>
      </c>
      <c r="E20">
        <f t="shared" si="10"/>
        <v>340</v>
      </c>
      <c r="F20">
        <f t="shared" si="21"/>
        <v>435</v>
      </c>
      <c r="I20" t="str">
        <f t="shared" si="15"/>
        <v/>
      </c>
      <c r="J20" t="str">
        <f t="shared" si="11"/>
        <v/>
      </c>
      <c r="K20" t="str">
        <f t="shared" si="12"/>
        <v/>
      </c>
      <c r="L20" t="str">
        <f t="shared" si="13"/>
        <v/>
      </c>
      <c r="N20">
        <f t="shared" si="3"/>
        <v>1</v>
      </c>
      <c r="O20">
        <f t="shared" si="4"/>
        <v>1</v>
      </c>
      <c r="P20">
        <f t="shared" si="5"/>
        <v>1</v>
      </c>
      <c r="Q20">
        <f t="shared" si="6"/>
        <v>1</v>
      </c>
    </row>
    <row r="21" spans="1:17" x14ac:dyDescent="0.25">
      <c r="A21">
        <v>2009</v>
      </c>
      <c r="B21">
        <v>4</v>
      </c>
      <c r="C21">
        <f t="shared" si="8"/>
        <v>333</v>
      </c>
      <c r="D21">
        <f t="shared" si="9"/>
        <v>316</v>
      </c>
      <c r="E21">
        <f t="shared" si="10"/>
        <v>350</v>
      </c>
      <c r="F21">
        <f t="shared" si="21"/>
        <v>443</v>
      </c>
      <c r="I21" t="str">
        <f t="shared" si="15"/>
        <v/>
      </c>
      <c r="J21" t="str">
        <f t="shared" si="11"/>
        <v/>
      </c>
      <c r="K21" t="str">
        <f t="shared" si="12"/>
        <v/>
      </c>
      <c r="L21" t="str">
        <f t="shared" si="13"/>
        <v/>
      </c>
      <c r="N21">
        <f t="shared" si="3"/>
        <v>1</v>
      </c>
      <c r="O21">
        <f t="shared" si="4"/>
        <v>1</v>
      </c>
      <c r="P21">
        <f t="shared" si="5"/>
        <v>1</v>
      </c>
      <c r="Q21">
        <f t="shared" si="6"/>
        <v>1</v>
      </c>
    </row>
    <row r="22" spans="1:17" x14ac:dyDescent="0.25">
      <c r="A22">
        <v>2010</v>
      </c>
      <c r="B22">
        <v>1</v>
      </c>
      <c r="C22">
        <v>333</v>
      </c>
      <c r="D22">
        <v>316</v>
      </c>
      <c r="E22">
        <v>350</v>
      </c>
      <c r="F22">
        <v>443</v>
      </c>
      <c r="I22" t="str">
        <f t="shared" si="15"/>
        <v/>
      </c>
      <c r="J22" t="str">
        <f t="shared" si="11"/>
        <v/>
      </c>
      <c r="K22" t="str">
        <f t="shared" si="12"/>
        <v/>
      </c>
      <c r="L22" t="str">
        <f t="shared" si="13"/>
        <v/>
      </c>
      <c r="N22">
        <f t="shared" si="3"/>
        <v>1</v>
      </c>
      <c r="O22">
        <f t="shared" si="4"/>
        <v>1</v>
      </c>
      <c r="P22">
        <f t="shared" si="5"/>
        <v>1</v>
      </c>
      <c r="Q22">
        <f t="shared" si="6"/>
        <v>1</v>
      </c>
    </row>
    <row r="23" spans="1:17" x14ac:dyDescent="0.25">
      <c r="A23">
        <v>2010</v>
      </c>
      <c r="B23">
        <v>2</v>
      </c>
      <c r="C23">
        <v>333</v>
      </c>
      <c r="D23">
        <v>316</v>
      </c>
      <c r="E23">
        <v>350</v>
      </c>
      <c r="F23">
        <v>443</v>
      </c>
      <c r="I23" t="str">
        <f t="shared" si="15"/>
        <v/>
      </c>
      <c r="J23" t="str">
        <f t="shared" si="11"/>
        <v/>
      </c>
      <c r="K23" t="str">
        <f t="shared" si="12"/>
        <v/>
      </c>
      <c r="L23" t="str">
        <f t="shared" si="13"/>
        <v/>
      </c>
      <c r="N23">
        <f t="shared" si="3"/>
        <v>1</v>
      </c>
      <c r="O23">
        <f t="shared" si="4"/>
        <v>1</v>
      </c>
      <c r="P23">
        <f t="shared" si="5"/>
        <v>1</v>
      </c>
      <c r="Q23">
        <f t="shared" si="6"/>
        <v>1</v>
      </c>
    </row>
    <row r="24" spans="1:17" x14ac:dyDescent="0.25">
      <c r="A24">
        <v>2010</v>
      </c>
      <c r="B24">
        <v>3</v>
      </c>
      <c r="C24">
        <v>333</v>
      </c>
      <c r="D24">
        <v>316</v>
      </c>
      <c r="E24">
        <v>350</v>
      </c>
      <c r="F24">
        <v>443</v>
      </c>
      <c r="I24" t="str">
        <f t="shared" si="15"/>
        <v/>
      </c>
      <c r="J24" t="str">
        <f t="shared" si="11"/>
        <v/>
      </c>
      <c r="K24" t="str">
        <f t="shared" si="12"/>
        <v/>
      </c>
      <c r="L24" t="str">
        <f t="shared" si="13"/>
        <v/>
      </c>
      <c r="N24">
        <f t="shared" si="3"/>
        <v>1</v>
      </c>
      <c r="O24">
        <f t="shared" si="4"/>
        <v>1</v>
      </c>
      <c r="P24">
        <f t="shared" si="5"/>
        <v>1</v>
      </c>
      <c r="Q24">
        <f t="shared" si="6"/>
        <v>1</v>
      </c>
    </row>
    <row r="25" spans="1:17" x14ac:dyDescent="0.25">
      <c r="A25">
        <v>2010</v>
      </c>
      <c r="B25">
        <v>4</v>
      </c>
      <c r="C25">
        <v>333</v>
      </c>
      <c r="D25">
        <v>316</v>
      </c>
      <c r="E25">
        <v>350</v>
      </c>
      <c r="F25">
        <v>443</v>
      </c>
      <c r="I25" t="str">
        <f t="shared" si="15"/>
        <v/>
      </c>
      <c r="J25" t="str">
        <f t="shared" si="11"/>
        <v/>
      </c>
      <c r="K25" t="str">
        <f t="shared" si="12"/>
        <v/>
      </c>
      <c r="L25" t="str">
        <f t="shared" si="13"/>
        <v/>
      </c>
      <c r="N25">
        <f t="shared" si="3"/>
        <v>1</v>
      </c>
      <c r="O25">
        <f t="shared" si="4"/>
        <v>1</v>
      </c>
      <c r="P25">
        <f t="shared" si="5"/>
        <v>1</v>
      </c>
      <c r="Q25">
        <f t="shared" si="6"/>
        <v>1</v>
      </c>
    </row>
    <row r="26" spans="1:17" x14ac:dyDescent="0.25">
      <c r="A26">
        <v>2011</v>
      </c>
      <c r="B26">
        <v>1</v>
      </c>
      <c r="C26">
        <f>INT(C25*0.99)</f>
        <v>329</v>
      </c>
      <c r="D26">
        <f>INT(D25*0.988)</f>
        <v>312</v>
      </c>
      <c r="E26">
        <f>INT(E25*0.981)</f>
        <v>343</v>
      </c>
      <c r="F26">
        <f>INT(F25*0.975)</f>
        <v>431</v>
      </c>
      <c r="I26" t="str">
        <f t="shared" si="15"/>
        <v/>
      </c>
      <c r="J26" t="str">
        <f t="shared" si="11"/>
        <v/>
      </c>
      <c r="K26" t="str">
        <f t="shared" si="12"/>
        <v/>
      </c>
      <c r="L26" t="str">
        <f t="shared" si="13"/>
        <v/>
      </c>
      <c r="N26">
        <f t="shared" si="3"/>
        <v>1</v>
      </c>
      <c r="O26">
        <f t="shared" si="4"/>
        <v>1</v>
      </c>
      <c r="P26">
        <f t="shared" si="5"/>
        <v>1</v>
      </c>
      <c r="Q26">
        <f t="shared" si="6"/>
        <v>1</v>
      </c>
    </row>
    <row r="27" spans="1:17" x14ac:dyDescent="0.25">
      <c r="A27">
        <v>2011</v>
      </c>
      <c r="B27">
        <v>2</v>
      </c>
      <c r="C27">
        <f t="shared" ref="C27:C33" si="22">INT(C26*0.99)</f>
        <v>325</v>
      </c>
      <c r="D27">
        <f t="shared" ref="D27:D33" si="23">INT(D26*0.988)</f>
        <v>308</v>
      </c>
      <c r="E27">
        <f t="shared" ref="E27:E33" si="24">INT(E26*0.981)</f>
        <v>336</v>
      </c>
      <c r="F27">
        <f t="shared" ref="F27:F33" si="25">INT(F26*0.975)</f>
        <v>420</v>
      </c>
      <c r="I27" t="str">
        <f t="shared" si="15"/>
        <v/>
      </c>
      <c r="J27" t="str">
        <f t="shared" si="11"/>
        <v/>
      </c>
      <c r="K27" t="str">
        <f t="shared" si="12"/>
        <v/>
      </c>
      <c r="L27" t="str">
        <f t="shared" si="13"/>
        <v/>
      </c>
      <c r="N27">
        <f t="shared" si="3"/>
        <v>1</v>
      </c>
      <c r="O27">
        <f t="shared" si="4"/>
        <v>1</v>
      </c>
      <c r="P27">
        <f t="shared" si="5"/>
        <v>1</v>
      </c>
      <c r="Q27">
        <f t="shared" si="6"/>
        <v>1</v>
      </c>
    </row>
    <row r="28" spans="1:17" x14ac:dyDescent="0.25">
      <c r="A28">
        <v>2011</v>
      </c>
      <c r="B28">
        <v>3</v>
      </c>
      <c r="C28">
        <f t="shared" si="22"/>
        <v>321</v>
      </c>
      <c r="D28">
        <f t="shared" si="23"/>
        <v>304</v>
      </c>
      <c r="E28">
        <f t="shared" si="24"/>
        <v>329</v>
      </c>
      <c r="F28">
        <f t="shared" si="25"/>
        <v>409</v>
      </c>
      <c r="I28" t="str">
        <f t="shared" si="15"/>
        <v/>
      </c>
      <c r="J28" t="str">
        <f t="shared" si="11"/>
        <v/>
      </c>
      <c r="K28" t="str">
        <f t="shared" si="12"/>
        <v/>
      </c>
      <c r="L28" t="str">
        <f t="shared" si="13"/>
        <v/>
      </c>
      <c r="N28">
        <f t="shared" si="3"/>
        <v>1</v>
      </c>
      <c r="O28">
        <f t="shared" si="4"/>
        <v>1</v>
      </c>
      <c r="P28">
        <f t="shared" si="5"/>
        <v>1</v>
      </c>
      <c r="Q28">
        <f t="shared" si="6"/>
        <v>1</v>
      </c>
    </row>
    <row r="29" spans="1:17" x14ac:dyDescent="0.25">
      <c r="A29" s="1">
        <v>2011</v>
      </c>
      <c r="B29" s="1">
        <v>4</v>
      </c>
      <c r="C29" s="1">
        <f t="shared" si="22"/>
        <v>317</v>
      </c>
      <c r="D29" s="1">
        <f t="shared" si="23"/>
        <v>300</v>
      </c>
      <c r="E29" s="1">
        <f t="shared" si="24"/>
        <v>322</v>
      </c>
      <c r="F29" s="1">
        <f t="shared" si="25"/>
        <v>398</v>
      </c>
      <c r="I29" t="str">
        <f t="shared" si="15"/>
        <v/>
      </c>
      <c r="J29" t="str">
        <f t="shared" si="11"/>
        <v/>
      </c>
      <c r="K29" t="str">
        <f t="shared" si="12"/>
        <v/>
      </c>
      <c r="L29" t="str">
        <f t="shared" si="13"/>
        <v/>
      </c>
      <c r="N29">
        <f t="shared" si="3"/>
        <v>1</v>
      </c>
      <c r="O29">
        <f t="shared" si="4"/>
        <v>0</v>
      </c>
      <c r="P29">
        <f t="shared" si="5"/>
        <v>1</v>
      </c>
      <c r="Q29">
        <f t="shared" si="6"/>
        <v>1</v>
      </c>
    </row>
    <row r="30" spans="1:17" x14ac:dyDescent="0.25">
      <c r="A30">
        <v>2012</v>
      </c>
      <c r="B30">
        <v>1</v>
      </c>
      <c r="C30">
        <f t="shared" si="22"/>
        <v>313</v>
      </c>
      <c r="D30">
        <f t="shared" si="23"/>
        <v>296</v>
      </c>
      <c r="E30">
        <f t="shared" si="24"/>
        <v>315</v>
      </c>
      <c r="F30">
        <f t="shared" si="25"/>
        <v>388</v>
      </c>
      <c r="I30" t="str">
        <f t="shared" si="15"/>
        <v/>
      </c>
      <c r="J30" t="str">
        <f t="shared" si="11"/>
        <v/>
      </c>
      <c r="K30" t="str">
        <f t="shared" si="12"/>
        <v/>
      </c>
      <c r="L30" t="str">
        <f t="shared" si="13"/>
        <v/>
      </c>
      <c r="N30">
        <f t="shared" si="3"/>
        <v>1</v>
      </c>
      <c r="O30">
        <f t="shared" si="4"/>
        <v>0</v>
      </c>
      <c r="P30">
        <f t="shared" si="5"/>
        <v>1</v>
      </c>
      <c r="Q30">
        <f t="shared" si="6"/>
        <v>1</v>
      </c>
    </row>
    <row r="31" spans="1:17" x14ac:dyDescent="0.25">
      <c r="A31">
        <v>2012</v>
      </c>
      <c r="B31">
        <v>2</v>
      </c>
      <c r="C31">
        <f t="shared" si="22"/>
        <v>309</v>
      </c>
      <c r="D31">
        <f t="shared" si="23"/>
        <v>292</v>
      </c>
      <c r="E31">
        <f t="shared" si="24"/>
        <v>309</v>
      </c>
      <c r="F31">
        <f t="shared" si="25"/>
        <v>378</v>
      </c>
      <c r="I31" t="str">
        <f t="shared" si="15"/>
        <v/>
      </c>
      <c r="J31" t="str">
        <f t="shared" si="11"/>
        <v/>
      </c>
      <c r="K31" t="str">
        <f t="shared" si="12"/>
        <v/>
      </c>
      <c r="L31" t="str">
        <f t="shared" si="13"/>
        <v/>
      </c>
      <c r="N31">
        <f t="shared" si="3"/>
        <v>1</v>
      </c>
      <c r="O31">
        <f t="shared" si="4"/>
        <v>0</v>
      </c>
      <c r="P31">
        <f t="shared" si="5"/>
        <v>1</v>
      </c>
      <c r="Q31">
        <f t="shared" si="6"/>
        <v>1</v>
      </c>
    </row>
    <row r="32" spans="1:17" x14ac:dyDescent="0.25">
      <c r="A32">
        <v>2012</v>
      </c>
      <c r="B32">
        <v>3</v>
      </c>
      <c r="C32">
        <f t="shared" si="22"/>
        <v>305</v>
      </c>
      <c r="D32">
        <f t="shared" si="23"/>
        <v>288</v>
      </c>
      <c r="E32">
        <f t="shared" si="24"/>
        <v>303</v>
      </c>
      <c r="F32">
        <f t="shared" si="25"/>
        <v>368</v>
      </c>
      <c r="I32" t="str">
        <f t="shared" si="15"/>
        <v/>
      </c>
      <c r="J32" t="str">
        <f t="shared" si="11"/>
        <v/>
      </c>
      <c r="K32" t="str">
        <f t="shared" si="12"/>
        <v/>
      </c>
      <c r="L32" t="str">
        <f t="shared" si="13"/>
        <v/>
      </c>
      <c r="N32">
        <f t="shared" si="3"/>
        <v>1</v>
      </c>
      <c r="O32">
        <f t="shared" si="4"/>
        <v>0</v>
      </c>
      <c r="P32">
        <f t="shared" si="5"/>
        <v>1</v>
      </c>
      <c r="Q32">
        <f t="shared" si="6"/>
        <v>1</v>
      </c>
    </row>
    <row r="33" spans="1:17" x14ac:dyDescent="0.25">
      <c r="A33">
        <v>2012</v>
      </c>
      <c r="B33">
        <v>4</v>
      </c>
      <c r="C33">
        <f t="shared" si="22"/>
        <v>301</v>
      </c>
      <c r="D33">
        <f t="shared" si="23"/>
        <v>284</v>
      </c>
      <c r="E33">
        <f t="shared" si="24"/>
        <v>297</v>
      </c>
      <c r="F33">
        <f t="shared" si="25"/>
        <v>358</v>
      </c>
      <c r="I33" t="str">
        <f t="shared" si="15"/>
        <v/>
      </c>
      <c r="J33" t="str">
        <f t="shared" si="11"/>
        <v/>
      </c>
      <c r="K33" t="str">
        <f t="shared" si="12"/>
        <v/>
      </c>
      <c r="L33" t="str">
        <f t="shared" si="13"/>
        <v/>
      </c>
      <c r="N33">
        <f t="shared" si="3"/>
        <v>1</v>
      </c>
      <c r="O33">
        <f t="shared" si="4"/>
        <v>0</v>
      </c>
      <c r="P33">
        <f t="shared" si="5"/>
        <v>0</v>
      </c>
      <c r="Q33">
        <f t="shared" si="6"/>
        <v>1</v>
      </c>
    </row>
    <row r="34" spans="1:17" x14ac:dyDescent="0.25">
      <c r="A34">
        <v>2013</v>
      </c>
      <c r="B34">
        <v>1</v>
      </c>
      <c r="C34">
        <f t="shared" ref="C34:C46" si="26">INT(C33*0.99)</f>
        <v>297</v>
      </c>
      <c r="D34">
        <f t="shared" ref="D34:D46" si="27">INT(D33*0.988)</f>
        <v>280</v>
      </c>
      <c r="E34">
        <f t="shared" ref="E34:E46" si="28">INT(E33*0.981)</f>
        <v>291</v>
      </c>
      <c r="F34">
        <f t="shared" ref="F34:F46" si="29">INT(F33*0.975)</f>
        <v>349</v>
      </c>
      <c r="I34" t="str">
        <f t="shared" si="15"/>
        <v/>
      </c>
      <c r="J34" t="str">
        <f t="shared" si="11"/>
        <v/>
      </c>
      <c r="K34" t="str">
        <f t="shared" si="12"/>
        <v/>
      </c>
      <c r="L34" t="str">
        <f t="shared" si="13"/>
        <v/>
      </c>
      <c r="N34" s="3">
        <f>SUM(N2:N33)</f>
        <v>18</v>
      </c>
      <c r="O34" s="3">
        <f t="shared" ref="O34:Q34" si="30">SUM(O2:O33)</f>
        <v>9</v>
      </c>
      <c r="P34" s="3">
        <f t="shared" si="30"/>
        <v>17</v>
      </c>
      <c r="Q34" s="3">
        <f t="shared" si="30"/>
        <v>32</v>
      </c>
    </row>
    <row r="35" spans="1:17" x14ac:dyDescent="0.25">
      <c r="A35">
        <v>2013</v>
      </c>
      <c r="B35">
        <v>2</v>
      </c>
      <c r="C35">
        <f t="shared" si="26"/>
        <v>294</v>
      </c>
      <c r="D35">
        <f t="shared" si="27"/>
        <v>276</v>
      </c>
      <c r="E35">
        <f t="shared" si="28"/>
        <v>285</v>
      </c>
      <c r="F35">
        <f t="shared" si="29"/>
        <v>340</v>
      </c>
      <c r="I35" t="str">
        <f t="shared" si="15"/>
        <v/>
      </c>
      <c r="J35" t="str">
        <f t="shared" si="11"/>
        <v/>
      </c>
      <c r="K35" t="str">
        <f t="shared" si="12"/>
        <v/>
      </c>
      <c r="L35" t="str">
        <f t="shared" si="13"/>
        <v/>
      </c>
    </row>
    <row r="36" spans="1:17" x14ac:dyDescent="0.25">
      <c r="A36">
        <v>2013</v>
      </c>
      <c r="B36">
        <v>3</v>
      </c>
      <c r="C36">
        <f t="shared" si="26"/>
        <v>291</v>
      </c>
      <c r="D36">
        <f t="shared" si="27"/>
        <v>272</v>
      </c>
      <c r="E36">
        <f t="shared" si="28"/>
        <v>279</v>
      </c>
      <c r="F36">
        <f t="shared" si="29"/>
        <v>331</v>
      </c>
      <c r="I36" t="str">
        <f t="shared" si="15"/>
        <v/>
      </c>
      <c r="J36" t="str">
        <f t="shared" si="11"/>
        <v/>
      </c>
      <c r="K36" t="str">
        <f t="shared" si="12"/>
        <v/>
      </c>
      <c r="L36" t="str">
        <f t="shared" si="13"/>
        <v/>
      </c>
    </row>
    <row r="37" spans="1:17" x14ac:dyDescent="0.25">
      <c r="A37">
        <v>2013</v>
      </c>
      <c r="B37">
        <v>4</v>
      </c>
      <c r="C37">
        <f t="shared" si="26"/>
        <v>288</v>
      </c>
      <c r="D37">
        <f t="shared" si="27"/>
        <v>268</v>
      </c>
      <c r="E37">
        <f t="shared" si="28"/>
        <v>273</v>
      </c>
      <c r="F37">
        <f t="shared" si="29"/>
        <v>322</v>
      </c>
      <c r="I37" t="str">
        <f t="shared" si="15"/>
        <v/>
      </c>
      <c r="J37" t="str">
        <f t="shared" si="11"/>
        <v/>
      </c>
      <c r="K37" t="str">
        <f t="shared" si="12"/>
        <v/>
      </c>
      <c r="L37" t="str">
        <f t="shared" si="13"/>
        <v/>
      </c>
    </row>
    <row r="38" spans="1:17" x14ac:dyDescent="0.25">
      <c r="A38">
        <v>2014</v>
      </c>
      <c r="B38">
        <v>1</v>
      </c>
      <c r="C38">
        <f t="shared" si="26"/>
        <v>285</v>
      </c>
      <c r="D38">
        <f t="shared" si="27"/>
        <v>264</v>
      </c>
      <c r="E38">
        <f t="shared" si="28"/>
        <v>267</v>
      </c>
      <c r="F38">
        <f t="shared" si="29"/>
        <v>313</v>
      </c>
      <c r="I38" t="str">
        <f t="shared" si="15"/>
        <v/>
      </c>
      <c r="J38" t="str">
        <f t="shared" si="11"/>
        <v/>
      </c>
      <c r="K38" t="str">
        <f t="shared" si="12"/>
        <v/>
      </c>
      <c r="L38" t="str">
        <f t="shared" si="13"/>
        <v/>
      </c>
    </row>
    <row r="39" spans="1:17" x14ac:dyDescent="0.25">
      <c r="A39">
        <v>2014</v>
      </c>
      <c r="B39">
        <v>2</v>
      </c>
      <c r="C39" s="1">
        <f t="shared" si="26"/>
        <v>282</v>
      </c>
      <c r="D39" s="1">
        <f t="shared" si="27"/>
        <v>260</v>
      </c>
      <c r="E39" s="1">
        <f t="shared" si="28"/>
        <v>261</v>
      </c>
      <c r="F39" s="2">
        <f t="shared" si="29"/>
        <v>305</v>
      </c>
      <c r="G39" s="1"/>
      <c r="H39" s="1"/>
      <c r="I39" s="1" t="str">
        <f t="shared" si="15"/>
        <v/>
      </c>
      <c r="J39" s="1" t="str">
        <f t="shared" si="11"/>
        <v/>
      </c>
      <c r="K39" s="1" t="str">
        <f t="shared" si="12"/>
        <v/>
      </c>
      <c r="L39" s="2" t="str">
        <f t="shared" si="13"/>
        <v>tu</v>
      </c>
    </row>
    <row r="40" spans="1:17" x14ac:dyDescent="0.25">
      <c r="A40">
        <v>2014</v>
      </c>
      <c r="B40">
        <v>3</v>
      </c>
      <c r="C40">
        <f t="shared" si="26"/>
        <v>279</v>
      </c>
      <c r="D40">
        <f t="shared" si="27"/>
        <v>256</v>
      </c>
      <c r="E40">
        <f t="shared" si="28"/>
        <v>256</v>
      </c>
      <c r="F40">
        <f t="shared" si="29"/>
        <v>297</v>
      </c>
      <c r="I40" t="str">
        <f t="shared" si="15"/>
        <v/>
      </c>
      <c r="J40" t="str">
        <f t="shared" si="11"/>
        <v/>
      </c>
      <c r="K40" t="str">
        <f t="shared" si="12"/>
        <v/>
      </c>
      <c r="L40" t="str">
        <f t="shared" si="13"/>
        <v>tu</v>
      </c>
    </row>
    <row r="41" spans="1:17" x14ac:dyDescent="0.25">
      <c r="A41">
        <v>2014</v>
      </c>
      <c r="B41">
        <v>4</v>
      </c>
      <c r="C41">
        <f t="shared" si="26"/>
        <v>276</v>
      </c>
      <c r="D41">
        <f t="shared" si="27"/>
        <v>252</v>
      </c>
      <c r="E41">
        <f t="shared" si="28"/>
        <v>251</v>
      </c>
      <c r="F41">
        <f t="shared" si="29"/>
        <v>289</v>
      </c>
      <c r="I41" t="str">
        <f t="shared" si="15"/>
        <v/>
      </c>
      <c r="J41" t="str">
        <f t="shared" si="11"/>
        <v/>
      </c>
      <c r="K41" t="str">
        <f t="shared" si="12"/>
        <v/>
      </c>
      <c r="L41" t="str">
        <f t="shared" si="13"/>
        <v>tu</v>
      </c>
    </row>
    <row r="42" spans="1:17" x14ac:dyDescent="0.25">
      <c r="C42">
        <f t="shared" si="26"/>
        <v>273</v>
      </c>
      <c r="D42">
        <f t="shared" si="27"/>
        <v>248</v>
      </c>
      <c r="E42">
        <f t="shared" si="28"/>
        <v>246</v>
      </c>
      <c r="F42">
        <f t="shared" si="29"/>
        <v>281</v>
      </c>
      <c r="I42" t="str">
        <f t="shared" si="15"/>
        <v/>
      </c>
      <c r="J42" t="str">
        <f t="shared" si="11"/>
        <v/>
      </c>
      <c r="K42" t="str">
        <f t="shared" si="12"/>
        <v/>
      </c>
      <c r="L42" t="str">
        <f t="shared" si="13"/>
        <v>tu</v>
      </c>
    </row>
    <row r="43" spans="1:17" x14ac:dyDescent="0.25">
      <c r="C43">
        <f t="shared" si="26"/>
        <v>270</v>
      </c>
      <c r="D43">
        <f t="shared" si="27"/>
        <v>245</v>
      </c>
      <c r="E43">
        <f t="shared" si="28"/>
        <v>241</v>
      </c>
      <c r="F43">
        <f t="shared" si="29"/>
        <v>273</v>
      </c>
      <c r="I43" t="str">
        <f t="shared" si="15"/>
        <v/>
      </c>
      <c r="J43" t="str">
        <f t="shared" si="11"/>
        <v/>
      </c>
      <c r="K43" t="str">
        <f t="shared" si="12"/>
        <v/>
      </c>
      <c r="L43" t="str">
        <f t="shared" si="13"/>
        <v>tu</v>
      </c>
    </row>
    <row r="44" spans="1:17" x14ac:dyDescent="0.25">
      <c r="C44">
        <f t="shared" si="26"/>
        <v>267</v>
      </c>
      <c r="D44">
        <f t="shared" si="27"/>
        <v>242</v>
      </c>
      <c r="E44">
        <f t="shared" si="28"/>
        <v>236</v>
      </c>
      <c r="F44">
        <f t="shared" si="29"/>
        <v>266</v>
      </c>
      <c r="I44" t="str">
        <f t="shared" si="15"/>
        <v/>
      </c>
      <c r="J44" t="str">
        <f t="shared" si="11"/>
        <v/>
      </c>
      <c r="K44" t="str">
        <f t="shared" si="12"/>
        <v/>
      </c>
      <c r="L44" t="str">
        <f t="shared" si="13"/>
        <v>tu</v>
      </c>
    </row>
    <row r="45" spans="1:17" x14ac:dyDescent="0.25">
      <c r="C45">
        <f t="shared" si="26"/>
        <v>264</v>
      </c>
      <c r="D45">
        <f t="shared" si="27"/>
        <v>239</v>
      </c>
      <c r="E45">
        <f t="shared" si="28"/>
        <v>231</v>
      </c>
      <c r="F45">
        <f t="shared" si="29"/>
        <v>259</v>
      </c>
      <c r="I45" t="str">
        <f t="shared" si="15"/>
        <v/>
      </c>
      <c r="J45" t="str">
        <f t="shared" si="11"/>
        <v/>
      </c>
      <c r="K45" t="str">
        <f t="shared" si="12"/>
        <v/>
      </c>
      <c r="L45" t="str">
        <f t="shared" si="13"/>
        <v>tu</v>
      </c>
    </row>
    <row r="46" spans="1:17" x14ac:dyDescent="0.25">
      <c r="C46">
        <f t="shared" si="26"/>
        <v>261</v>
      </c>
      <c r="D46">
        <f t="shared" si="27"/>
        <v>236</v>
      </c>
      <c r="E46">
        <f t="shared" si="28"/>
        <v>226</v>
      </c>
      <c r="F46">
        <f t="shared" si="29"/>
        <v>252</v>
      </c>
      <c r="I46" t="str">
        <f t="shared" si="15"/>
        <v/>
      </c>
      <c r="J46" t="str">
        <f t="shared" si="11"/>
        <v/>
      </c>
      <c r="K46" t="str">
        <f t="shared" si="12"/>
        <v/>
      </c>
      <c r="L46" t="str">
        <f t="shared" si="13"/>
        <v>tu</v>
      </c>
    </row>
    <row r="47" spans="1:17" x14ac:dyDescent="0.25">
      <c r="C47">
        <f t="shared" ref="C47:C68" si="31">INT(C46*0.99)</f>
        <v>258</v>
      </c>
      <c r="D47">
        <f t="shared" ref="D47:D68" si="32">INT(D46*0.988)</f>
        <v>233</v>
      </c>
      <c r="E47">
        <f t="shared" ref="E47:E68" si="33">INT(E46*0.981)</f>
        <v>221</v>
      </c>
      <c r="F47">
        <f t="shared" ref="F47:F68" si="34">INT(F46*0.975)</f>
        <v>245</v>
      </c>
      <c r="I47" t="str">
        <f t="shared" si="15"/>
        <v/>
      </c>
      <c r="J47" t="str">
        <f t="shared" si="11"/>
        <v/>
      </c>
      <c r="K47" t="str">
        <f t="shared" si="12"/>
        <v/>
      </c>
      <c r="L47" t="str">
        <f t="shared" si="13"/>
        <v>tu</v>
      </c>
    </row>
    <row r="48" spans="1:17" x14ac:dyDescent="0.25">
      <c r="C48">
        <f t="shared" si="31"/>
        <v>255</v>
      </c>
      <c r="D48">
        <f t="shared" si="32"/>
        <v>230</v>
      </c>
      <c r="E48">
        <f t="shared" si="33"/>
        <v>216</v>
      </c>
      <c r="F48">
        <f t="shared" si="34"/>
        <v>238</v>
      </c>
      <c r="I48" t="str">
        <f t="shared" si="15"/>
        <v/>
      </c>
      <c r="J48" t="str">
        <f t="shared" si="11"/>
        <v/>
      </c>
      <c r="K48" t="str">
        <f t="shared" si="12"/>
        <v/>
      </c>
      <c r="L48" t="str">
        <f t="shared" si="13"/>
        <v>tu</v>
      </c>
    </row>
    <row r="49" spans="3:12" x14ac:dyDescent="0.25">
      <c r="C49">
        <f t="shared" si="31"/>
        <v>252</v>
      </c>
      <c r="D49">
        <f t="shared" si="32"/>
        <v>227</v>
      </c>
      <c r="E49">
        <f t="shared" si="33"/>
        <v>211</v>
      </c>
      <c r="F49">
        <f t="shared" si="34"/>
        <v>232</v>
      </c>
      <c r="I49" t="str">
        <f t="shared" si="15"/>
        <v/>
      </c>
      <c r="J49" t="str">
        <f t="shared" si="11"/>
        <v/>
      </c>
      <c r="K49" t="str">
        <f t="shared" si="12"/>
        <v/>
      </c>
      <c r="L49" t="str">
        <f t="shared" si="13"/>
        <v>tu</v>
      </c>
    </row>
    <row r="50" spans="3:12" x14ac:dyDescent="0.25">
      <c r="C50">
        <f t="shared" si="31"/>
        <v>249</v>
      </c>
      <c r="D50">
        <f t="shared" si="32"/>
        <v>224</v>
      </c>
      <c r="E50">
        <f t="shared" si="33"/>
        <v>206</v>
      </c>
      <c r="F50">
        <f t="shared" si="34"/>
        <v>226</v>
      </c>
      <c r="I50" t="str">
        <f t="shared" si="15"/>
        <v/>
      </c>
      <c r="J50" t="str">
        <f t="shared" si="11"/>
        <v/>
      </c>
      <c r="K50" t="str">
        <f t="shared" si="12"/>
        <v>tu</v>
      </c>
      <c r="L50" t="str">
        <f t="shared" si="13"/>
        <v>tu</v>
      </c>
    </row>
    <row r="51" spans="3:12" x14ac:dyDescent="0.25">
      <c r="C51">
        <f t="shared" si="31"/>
        <v>246</v>
      </c>
      <c r="D51">
        <f t="shared" si="32"/>
        <v>221</v>
      </c>
      <c r="E51">
        <f t="shared" si="33"/>
        <v>202</v>
      </c>
      <c r="F51">
        <f t="shared" si="34"/>
        <v>220</v>
      </c>
      <c r="I51" t="str">
        <f t="shared" si="15"/>
        <v/>
      </c>
      <c r="J51" t="str">
        <f t="shared" si="11"/>
        <v/>
      </c>
      <c r="K51" t="str">
        <f t="shared" si="12"/>
        <v>tu</v>
      </c>
      <c r="L51" t="str">
        <f t="shared" si="13"/>
        <v>tu</v>
      </c>
    </row>
    <row r="52" spans="3:12" x14ac:dyDescent="0.25">
      <c r="C52">
        <f t="shared" si="31"/>
        <v>243</v>
      </c>
      <c r="D52">
        <f t="shared" si="32"/>
        <v>218</v>
      </c>
      <c r="E52">
        <f t="shared" si="33"/>
        <v>198</v>
      </c>
      <c r="F52">
        <f t="shared" si="34"/>
        <v>214</v>
      </c>
      <c r="I52" t="str">
        <f t="shared" si="15"/>
        <v/>
      </c>
      <c r="J52" t="str">
        <f t="shared" si="11"/>
        <v/>
      </c>
      <c r="K52" t="str">
        <f t="shared" si="12"/>
        <v>tu</v>
      </c>
      <c r="L52" t="str">
        <f t="shared" si="13"/>
        <v>tu</v>
      </c>
    </row>
    <row r="53" spans="3:12" x14ac:dyDescent="0.25">
      <c r="C53">
        <f t="shared" si="31"/>
        <v>240</v>
      </c>
      <c r="D53">
        <f t="shared" si="32"/>
        <v>215</v>
      </c>
      <c r="E53">
        <f t="shared" si="33"/>
        <v>194</v>
      </c>
      <c r="F53">
        <f t="shared" si="34"/>
        <v>208</v>
      </c>
      <c r="I53" t="str">
        <f t="shared" si="15"/>
        <v/>
      </c>
      <c r="J53" t="str">
        <f t="shared" si="11"/>
        <v/>
      </c>
      <c r="K53" t="str">
        <f t="shared" si="12"/>
        <v>tu</v>
      </c>
      <c r="L53" t="str">
        <f t="shared" si="13"/>
        <v>tu</v>
      </c>
    </row>
    <row r="54" spans="3:12" x14ac:dyDescent="0.25">
      <c r="C54">
        <f t="shared" si="31"/>
        <v>237</v>
      </c>
      <c r="D54">
        <f t="shared" si="32"/>
        <v>212</v>
      </c>
      <c r="E54">
        <f t="shared" si="33"/>
        <v>190</v>
      </c>
      <c r="F54">
        <f t="shared" si="34"/>
        <v>202</v>
      </c>
      <c r="I54" t="str">
        <f t="shared" si="15"/>
        <v/>
      </c>
      <c r="J54" t="str">
        <f t="shared" si="11"/>
        <v/>
      </c>
      <c r="K54" t="str">
        <f t="shared" si="12"/>
        <v>tu</v>
      </c>
      <c r="L54" t="str">
        <f t="shared" si="13"/>
        <v>tu</v>
      </c>
    </row>
    <row r="55" spans="3:12" x14ac:dyDescent="0.25">
      <c r="C55">
        <f t="shared" si="31"/>
        <v>234</v>
      </c>
      <c r="D55">
        <f t="shared" si="32"/>
        <v>209</v>
      </c>
      <c r="E55">
        <f t="shared" si="33"/>
        <v>186</v>
      </c>
      <c r="F55">
        <f t="shared" si="34"/>
        <v>196</v>
      </c>
      <c r="I55" t="str">
        <f t="shared" si="15"/>
        <v>tu</v>
      </c>
      <c r="J55" t="str">
        <f t="shared" si="11"/>
        <v/>
      </c>
      <c r="K55" t="str">
        <f t="shared" si="12"/>
        <v>tu</v>
      </c>
      <c r="L55" t="str">
        <f t="shared" si="13"/>
        <v>tu</v>
      </c>
    </row>
    <row r="56" spans="3:12" x14ac:dyDescent="0.25">
      <c r="C56">
        <f t="shared" si="31"/>
        <v>231</v>
      </c>
      <c r="D56">
        <f t="shared" si="32"/>
        <v>206</v>
      </c>
      <c r="E56">
        <f t="shared" si="33"/>
        <v>182</v>
      </c>
      <c r="F56">
        <f t="shared" si="34"/>
        <v>191</v>
      </c>
      <c r="I56" t="str">
        <f t="shared" si="15"/>
        <v>tu</v>
      </c>
      <c r="J56" t="str">
        <f t="shared" si="11"/>
        <v/>
      </c>
      <c r="K56" t="str">
        <f t="shared" si="12"/>
        <v>tu</v>
      </c>
      <c r="L56" t="str">
        <f t="shared" si="13"/>
        <v>tu</v>
      </c>
    </row>
    <row r="57" spans="3:12" x14ac:dyDescent="0.25">
      <c r="C57">
        <f t="shared" si="31"/>
        <v>228</v>
      </c>
      <c r="D57">
        <f t="shared" si="32"/>
        <v>203</v>
      </c>
      <c r="E57">
        <f t="shared" si="33"/>
        <v>178</v>
      </c>
      <c r="F57">
        <f t="shared" si="34"/>
        <v>186</v>
      </c>
      <c r="I57" t="str">
        <f t="shared" si="15"/>
        <v>tu</v>
      </c>
      <c r="J57" t="str">
        <f t="shared" si="11"/>
        <v/>
      </c>
      <c r="K57" t="str">
        <f t="shared" si="12"/>
        <v>tu</v>
      </c>
      <c r="L57" t="str">
        <f t="shared" si="13"/>
        <v>tu</v>
      </c>
    </row>
    <row r="58" spans="3:12" x14ac:dyDescent="0.25">
      <c r="C58">
        <f t="shared" si="31"/>
        <v>225</v>
      </c>
      <c r="D58">
        <f t="shared" si="32"/>
        <v>200</v>
      </c>
      <c r="E58">
        <f t="shared" si="33"/>
        <v>174</v>
      </c>
      <c r="F58">
        <f t="shared" si="34"/>
        <v>181</v>
      </c>
      <c r="I58" t="str">
        <f t="shared" si="15"/>
        <v>tu</v>
      </c>
      <c r="J58" t="str">
        <f t="shared" si="11"/>
        <v/>
      </c>
      <c r="K58" t="str">
        <f t="shared" si="12"/>
        <v>tu</v>
      </c>
      <c r="L58" t="str">
        <f t="shared" si="13"/>
        <v>tu</v>
      </c>
    </row>
    <row r="59" spans="3:12" x14ac:dyDescent="0.25">
      <c r="C59">
        <f t="shared" si="31"/>
        <v>222</v>
      </c>
      <c r="D59">
        <f t="shared" si="32"/>
        <v>197</v>
      </c>
      <c r="E59">
        <f t="shared" si="33"/>
        <v>170</v>
      </c>
      <c r="F59">
        <f t="shared" si="34"/>
        <v>176</v>
      </c>
      <c r="I59" t="str">
        <f t="shared" si="15"/>
        <v>tu</v>
      </c>
      <c r="J59" t="str">
        <f t="shared" si="11"/>
        <v>tu</v>
      </c>
      <c r="K59" t="str">
        <f t="shared" si="12"/>
        <v>tu</v>
      </c>
      <c r="L59" t="str">
        <f t="shared" si="13"/>
        <v>tu</v>
      </c>
    </row>
    <row r="60" spans="3:12" x14ac:dyDescent="0.25">
      <c r="C60">
        <f t="shared" si="31"/>
        <v>219</v>
      </c>
      <c r="D60">
        <f t="shared" si="32"/>
        <v>194</v>
      </c>
      <c r="E60">
        <f t="shared" si="33"/>
        <v>166</v>
      </c>
      <c r="F60">
        <f t="shared" si="34"/>
        <v>171</v>
      </c>
      <c r="I60" t="str">
        <f t="shared" si="15"/>
        <v>tu</v>
      </c>
      <c r="J60" t="str">
        <f t="shared" si="11"/>
        <v>tu</v>
      </c>
      <c r="K60" t="str">
        <f t="shared" si="12"/>
        <v>tu</v>
      </c>
      <c r="L60" t="str">
        <f t="shared" si="13"/>
        <v>tu</v>
      </c>
    </row>
    <row r="61" spans="3:12" x14ac:dyDescent="0.25">
      <c r="C61">
        <f t="shared" si="31"/>
        <v>216</v>
      </c>
      <c r="D61">
        <f t="shared" si="32"/>
        <v>191</v>
      </c>
      <c r="E61">
        <f t="shared" si="33"/>
        <v>162</v>
      </c>
      <c r="F61">
        <f t="shared" si="34"/>
        <v>166</v>
      </c>
      <c r="I61" t="str">
        <f t="shared" si="15"/>
        <v>tu</v>
      </c>
      <c r="J61" t="str">
        <f t="shared" si="11"/>
        <v>tu</v>
      </c>
      <c r="K61" t="str">
        <f t="shared" si="12"/>
        <v>tu</v>
      </c>
      <c r="L61" t="str">
        <f t="shared" si="13"/>
        <v>tu</v>
      </c>
    </row>
    <row r="62" spans="3:12" x14ac:dyDescent="0.25">
      <c r="C62">
        <f t="shared" si="31"/>
        <v>213</v>
      </c>
      <c r="D62">
        <f t="shared" si="32"/>
        <v>188</v>
      </c>
      <c r="E62">
        <f t="shared" si="33"/>
        <v>158</v>
      </c>
      <c r="F62">
        <f t="shared" si="34"/>
        <v>161</v>
      </c>
      <c r="I62" t="str">
        <f t="shared" si="15"/>
        <v>tu</v>
      </c>
      <c r="J62" t="str">
        <f t="shared" si="11"/>
        <v>tu</v>
      </c>
      <c r="K62" t="str">
        <f t="shared" si="12"/>
        <v>tu</v>
      </c>
      <c r="L62" t="str">
        <f t="shared" si="13"/>
        <v>tu</v>
      </c>
    </row>
    <row r="63" spans="3:12" x14ac:dyDescent="0.25">
      <c r="C63">
        <f t="shared" si="31"/>
        <v>210</v>
      </c>
      <c r="D63">
        <f t="shared" si="32"/>
        <v>185</v>
      </c>
      <c r="E63">
        <f t="shared" si="33"/>
        <v>154</v>
      </c>
      <c r="F63">
        <f t="shared" si="34"/>
        <v>156</v>
      </c>
      <c r="I63" t="str">
        <f t="shared" si="15"/>
        <v>tu</v>
      </c>
      <c r="J63" t="str">
        <f t="shared" si="11"/>
        <v>tu</v>
      </c>
      <c r="K63" t="str">
        <f t="shared" si="12"/>
        <v>tu</v>
      </c>
      <c r="L63" t="str">
        <f t="shared" si="13"/>
        <v>tu</v>
      </c>
    </row>
    <row r="64" spans="3:12" x14ac:dyDescent="0.25">
      <c r="C64">
        <f t="shared" si="31"/>
        <v>207</v>
      </c>
      <c r="D64">
        <f t="shared" si="32"/>
        <v>182</v>
      </c>
      <c r="E64">
        <f t="shared" si="33"/>
        <v>151</v>
      </c>
      <c r="F64">
        <f t="shared" si="34"/>
        <v>152</v>
      </c>
      <c r="I64" t="str">
        <f t="shared" si="15"/>
        <v>tu</v>
      </c>
      <c r="J64" t="str">
        <f t="shared" si="11"/>
        <v>tu</v>
      </c>
      <c r="K64" t="str">
        <f t="shared" si="12"/>
        <v>tu</v>
      </c>
      <c r="L64" t="str">
        <f t="shared" si="13"/>
        <v>tu</v>
      </c>
    </row>
    <row r="65" spans="3:12" x14ac:dyDescent="0.25">
      <c r="C65">
        <f t="shared" si="31"/>
        <v>204</v>
      </c>
      <c r="D65">
        <f t="shared" si="32"/>
        <v>179</v>
      </c>
      <c r="E65">
        <f t="shared" si="33"/>
        <v>148</v>
      </c>
      <c r="F65">
        <f t="shared" si="34"/>
        <v>148</v>
      </c>
      <c r="I65" t="str">
        <f t="shared" si="15"/>
        <v>tu</v>
      </c>
      <c r="J65" t="str">
        <f t="shared" si="11"/>
        <v>tu</v>
      </c>
      <c r="K65" t="str">
        <f t="shared" si="12"/>
        <v>tu</v>
      </c>
      <c r="L65" t="str">
        <f t="shared" si="13"/>
        <v>tu</v>
      </c>
    </row>
    <row r="66" spans="3:12" x14ac:dyDescent="0.25">
      <c r="C66">
        <f t="shared" si="31"/>
        <v>201</v>
      </c>
      <c r="D66">
        <f t="shared" si="32"/>
        <v>176</v>
      </c>
      <c r="E66">
        <f t="shared" si="33"/>
        <v>145</v>
      </c>
      <c r="F66">
        <f t="shared" si="34"/>
        <v>144</v>
      </c>
      <c r="I66" t="str">
        <f t="shared" si="15"/>
        <v>tu</v>
      </c>
      <c r="J66" t="str">
        <f t="shared" si="11"/>
        <v>tu</v>
      </c>
      <c r="K66" t="str">
        <f t="shared" si="12"/>
        <v>tu</v>
      </c>
      <c r="L66" t="str">
        <f t="shared" si="13"/>
        <v>tu</v>
      </c>
    </row>
    <row r="67" spans="3:12" x14ac:dyDescent="0.25">
      <c r="C67">
        <f t="shared" si="31"/>
        <v>198</v>
      </c>
      <c r="D67">
        <f t="shared" si="32"/>
        <v>173</v>
      </c>
      <c r="E67">
        <f t="shared" si="33"/>
        <v>142</v>
      </c>
      <c r="F67">
        <f t="shared" si="34"/>
        <v>140</v>
      </c>
      <c r="I67" t="str">
        <f t="shared" si="15"/>
        <v>tu</v>
      </c>
      <c r="J67" t="str">
        <f t="shared" si="11"/>
        <v>tu</v>
      </c>
      <c r="K67" t="str">
        <f t="shared" si="12"/>
        <v>tu</v>
      </c>
      <c r="L67" t="str">
        <f t="shared" si="13"/>
        <v>tu</v>
      </c>
    </row>
    <row r="68" spans="3:12" x14ac:dyDescent="0.25">
      <c r="C68">
        <f t="shared" si="31"/>
        <v>196</v>
      </c>
      <c r="D68">
        <f t="shared" si="32"/>
        <v>170</v>
      </c>
      <c r="E68">
        <f t="shared" si="33"/>
        <v>139</v>
      </c>
      <c r="F68">
        <f t="shared" si="34"/>
        <v>136</v>
      </c>
      <c r="I68" t="str">
        <f t="shared" ref="I68:I70" si="35">IF($C$2&gt;C68, "tu","")</f>
        <v>tu</v>
      </c>
      <c r="J68" t="str">
        <f t="shared" ref="J68:J70" si="36">IF($D$2&gt;D68, "tu","")</f>
        <v>tu</v>
      </c>
      <c r="K68" t="str">
        <f t="shared" ref="K68:K70" si="37">IF($E$2&gt;E68, "tu","")</f>
        <v>tu</v>
      </c>
      <c r="L68" t="str">
        <f t="shared" ref="L68:L70" si="38">IF($F$2&gt;F68, "tu","")</f>
        <v>tu</v>
      </c>
    </row>
    <row r="69" spans="3:12" x14ac:dyDescent="0.25">
      <c r="C69">
        <f t="shared" ref="C69:C70" si="39">INT(C68*0.99)</f>
        <v>194</v>
      </c>
      <c r="D69">
        <f t="shared" ref="D69:D70" si="40">INT(D68*0.988)</f>
        <v>167</v>
      </c>
      <c r="E69">
        <f t="shared" ref="E69:E70" si="41">INT(E68*0.981)</f>
        <v>136</v>
      </c>
      <c r="F69">
        <f t="shared" ref="F69:F70" si="42">INT(F68*0.975)</f>
        <v>132</v>
      </c>
      <c r="I69" t="str">
        <f t="shared" si="35"/>
        <v>tu</v>
      </c>
      <c r="J69" t="str">
        <f t="shared" si="36"/>
        <v>tu</v>
      </c>
      <c r="K69" t="str">
        <f t="shared" si="37"/>
        <v>tu</v>
      </c>
      <c r="L69" t="str">
        <f t="shared" si="38"/>
        <v>tu</v>
      </c>
    </row>
    <row r="70" spans="3:12" x14ac:dyDescent="0.25">
      <c r="C70">
        <f t="shared" si="39"/>
        <v>192</v>
      </c>
      <c r="D70">
        <f t="shared" si="40"/>
        <v>164</v>
      </c>
      <c r="E70">
        <f t="shared" si="41"/>
        <v>133</v>
      </c>
      <c r="F70">
        <f t="shared" si="42"/>
        <v>128</v>
      </c>
      <c r="I70" t="str">
        <f t="shared" si="35"/>
        <v>tu</v>
      </c>
      <c r="J70" t="str">
        <f t="shared" si="36"/>
        <v>tu</v>
      </c>
      <c r="K70" t="str">
        <f t="shared" si="37"/>
        <v>tu</v>
      </c>
      <c r="L70" t="str">
        <f t="shared" si="38"/>
        <v>tu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stanowisko</dc:creator>
  <cp:lastModifiedBy>stanowisko</cp:lastModifiedBy>
  <dcterms:created xsi:type="dcterms:W3CDTF">2025-11-19T09:38:33Z</dcterms:created>
  <dcterms:modified xsi:type="dcterms:W3CDTF">2025-11-19T10:18:10Z</dcterms:modified>
</cp:coreProperties>
</file>